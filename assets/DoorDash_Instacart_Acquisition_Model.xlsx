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kada/Downloads/kwabena-portfolio/assets/"/>
    </mc:Choice>
  </mc:AlternateContent>
  <xr:revisionPtr revIDLastSave="0" documentId="8_{8D756FFC-5C0B-6D4F-82EF-B5C6398E68AC}" xr6:coauthVersionLast="47" xr6:coauthVersionMax="47" xr10:uidLastSave="{00000000-0000-0000-0000-000000000000}"/>
  <bookViews>
    <workbookView xWindow="0" yWindow="660" windowWidth="29400" windowHeight="17660" activeTab="1" xr2:uid="{00000000-000D-0000-FFFF-FFFF00000000}"/>
  </bookViews>
  <sheets>
    <sheet name="Summary" sheetId="1" r:id="rId1"/>
    <sheet name="Assumptions" sheetId="2" r:id="rId2"/>
    <sheet name="Model" sheetId="3" r:id="rId3"/>
    <sheet name="Sensitivity" sheetId="4" r:id="rId4"/>
    <sheet name="Sources" sheetId="5" r:id="rId5"/>
    <sheet name="Scenarios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C8" i="6"/>
  <c r="B8" i="6"/>
  <c r="F8" i="4"/>
  <c r="E8" i="4"/>
  <c r="D8" i="4"/>
  <c r="C8" i="4"/>
  <c r="B28" i="3"/>
  <c r="B22" i="3"/>
  <c r="B20" i="3"/>
  <c r="B21" i="3" s="1"/>
  <c r="B8" i="3"/>
  <c r="B7" i="3"/>
  <c r="B5" i="3"/>
  <c r="D17" i="1"/>
  <c r="D16" i="1"/>
  <c r="D15" i="1"/>
  <c r="D14" i="1"/>
  <c r="H6" i="1"/>
  <c r="A6" i="1"/>
  <c r="E6" i="1" l="1"/>
  <c r="B23" i="3"/>
  <c r="B24" i="3" s="1"/>
  <c r="B29" i="3"/>
  <c r="B38" i="3"/>
  <c r="C9" i="6"/>
  <c r="C10" i="6" s="1"/>
  <c r="B6" i="3"/>
  <c r="B8" i="4"/>
  <c r="F7" i="4"/>
  <c r="E7" i="4"/>
  <c r="D7" i="4"/>
  <c r="C7" i="4"/>
  <c r="B7" i="4"/>
  <c r="F6" i="4"/>
  <c r="E6" i="4"/>
  <c r="D6" i="4"/>
  <c r="C6" i="4"/>
  <c r="B6" i="4"/>
  <c r="F5" i="4"/>
  <c r="E5" i="4"/>
  <c r="D5" i="4"/>
  <c r="C5" i="4"/>
  <c r="B5" i="4"/>
  <c r="F4" i="4"/>
  <c r="E4" i="4"/>
  <c r="D4" i="4"/>
  <c r="C4" i="4"/>
  <c r="B9" i="6"/>
  <c r="B10" i="6" s="1"/>
  <c r="B4" i="4"/>
  <c r="D9" i="6"/>
  <c r="D10" i="6" s="1"/>
  <c r="F6" i="1" l="1"/>
  <c r="K19" i="1"/>
  <c r="C11" i="6"/>
  <c r="C12" i="6"/>
  <c r="B15" i="3"/>
  <c r="B16" i="3"/>
  <c r="B19" i="3" s="1"/>
  <c r="B30" i="3" s="1"/>
  <c r="B31" i="3" s="1"/>
  <c r="B17" i="3"/>
  <c r="B18" i="3" s="1"/>
  <c r="B32" i="3" s="1"/>
  <c r="B6" i="1"/>
  <c r="B9" i="3"/>
  <c r="B11" i="6"/>
  <c r="B12" i="6"/>
  <c r="D11" i="6"/>
  <c r="D12" i="6"/>
  <c r="B10" i="3" l="1"/>
  <c r="B11" i="3"/>
  <c r="D6" i="1" s="1"/>
  <c r="B39" i="3"/>
  <c r="G6" i="1" s="1"/>
  <c r="C6" i="1"/>
  <c r="B33" i="3"/>
  <c r="B34" i="3" s="1"/>
</calcChain>
</file>

<file path=xl/sharedStrings.xml><?xml version="1.0" encoding="utf-8"?>
<sst xmlns="http://schemas.openxmlformats.org/spreadsheetml/2006/main" count="253" uniqueCount="143">
  <si>
    <t>DoorDash × Instacart | Hypothetical Acquisition Model</t>
  </si>
  <si>
    <t>M&amp;A Case Study | Transaction Valuation, Synergies &amp; Sensitivity</t>
  </si>
  <si>
    <t>Base Case Transaction</t>
  </si>
  <si>
    <t>Offer Premium</t>
  </si>
  <si>
    <t>Offer Equity Value ($mm)</t>
  </si>
  <si>
    <t>Transaction EV ($mm)</t>
  </si>
  <si>
    <t>Standalone EV / EBITDA</t>
  </si>
  <si>
    <t>EBITDA Synergies ($mm)</t>
  </si>
  <si>
    <t>Synergy-Adj. EBITDA ($mm)</t>
  </si>
  <si>
    <t>Synergy-Adj. EV / EBITDA</t>
  </si>
  <si>
    <t>Offer Price / Share</t>
  </si>
  <si>
    <t>Recommendation</t>
  </si>
  <si>
    <t>PURSUE WITH PRICE DISCIPLINE</t>
  </si>
  <si>
    <t>Target premium</t>
  </si>
  <si>
    <t>~25%</t>
  </si>
  <si>
    <t>Indicative walk-away</t>
  </si>
  <si>
    <t>~30%</t>
  </si>
  <si>
    <t>Base EBITDA synergies</t>
  </si>
  <si>
    <t>$320mm</t>
  </si>
  <si>
    <t>Largest deal risk</t>
  </si>
  <si>
    <t>Antitrust</t>
  </si>
  <si>
    <t>Company Snapshot ($mm)</t>
  </si>
  <si>
    <t>Metric</t>
  </si>
  <si>
    <t>DoorDash</t>
  </si>
  <si>
    <t>Instacart</t>
  </si>
  <si>
    <t>Combined</t>
  </si>
  <si>
    <t>Revenue</t>
  </si>
  <si>
    <t>Adjusted EBITDA</t>
  </si>
  <si>
    <t>Net Income</t>
  </si>
  <si>
    <t>Commerce Volume</t>
  </si>
  <si>
    <t>$mm</t>
  </si>
  <si>
    <t>Standalone EBITDA</t>
  </si>
  <si>
    <t>Model Note</t>
  </si>
  <si>
    <t>Synergy-Adjusted EBITDA</t>
  </si>
  <si>
    <t>Illustrative portfolio model. Acquisition premium, financing mix, synergies and integration costs are hypothetical and do not represent company guidance.</t>
  </si>
  <si>
    <t>DoorDash × Instacart Acquisition Model</t>
  </si>
  <si>
    <t>Key Inputs ($mm except per-share data)</t>
  </si>
  <si>
    <t>Input</t>
  </si>
  <si>
    <t>Instacart / Value</t>
  </si>
  <si>
    <t>Units</t>
  </si>
  <si>
    <t>Date</t>
  </si>
  <si>
    <t>Source</t>
  </si>
  <si>
    <t>Share price</t>
  </si>
  <si>
    <t>$/share</t>
  </si>
  <si>
    <t>2026-09-22</t>
  </si>
  <si>
    <t>StockAnalysis</t>
  </si>
  <si>
    <t>Diluted shares</t>
  </si>
  <si>
    <t>mm</t>
  </si>
  <si>
    <t>2026-09-22 / 2026-07-31</t>
  </si>
  <si>
    <t>StockAnalysis / SEC</t>
  </si>
  <si>
    <t>FY2025</t>
  </si>
  <si>
    <t>SEC 10-K</t>
  </si>
  <si>
    <t>Net income</t>
  </si>
  <si>
    <t>Cash + securities</t>
  </si>
  <si>
    <t>2025-12-31</t>
  </si>
  <si>
    <t>Preferred stock</t>
  </si>
  <si>
    <t>Acquisition premium</t>
  </si>
  <si>
    <t>%</t>
  </si>
  <si>
    <t>Model</t>
  </si>
  <si>
    <t>Illustrative</t>
  </si>
  <si>
    <t>Cash consideration %</t>
  </si>
  <si>
    <t>Debt consideration %</t>
  </si>
  <si>
    <t>Stock consideration %</t>
  </si>
  <si>
    <t>New debt interest rate</t>
  </si>
  <si>
    <t>Tax rate</t>
  </si>
  <si>
    <t>Cost synergies</t>
  </si>
  <si>
    <t>Revenue synergies</t>
  </si>
  <si>
    <t>EBITDA margin on revenue synergies</t>
  </si>
  <si>
    <t>One-time integration costs</t>
  </si>
  <si>
    <t>Valuation Discipline</t>
  </si>
  <si>
    <t>Indicative walk-away premium</t>
  </si>
  <si>
    <t>Transaction Model</t>
  </si>
  <si>
    <t>Purchase Price</t>
  </si>
  <si>
    <t>Value</t>
  </si>
  <si>
    <t>Current Instacart equity value</t>
  </si>
  <si>
    <t>Offer equity value</t>
  </si>
  <si>
    <t>Target cash + securities</t>
  </si>
  <si>
    <t>Target preferred stock</t>
  </si>
  <si>
    <t>Transaction enterprise value</t>
  </si>
  <si>
    <t>EV / Revenue</t>
  </si>
  <si>
    <t>x</t>
  </si>
  <si>
    <t>EV / Adj. EBITDA</t>
  </si>
  <si>
    <t>Financing &amp; Synergies</t>
  </si>
  <si>
    <t>Cash funded</t>
  </si>
  <si>
    <t>New debt</t>
  </si>
  <si>
    <t>Stock consideration</t>
  </si>
  <si>
    <t>New DASH shares</t>
  </si>
  <si>
    <t>Annual interest expense</t>
  </si>
  <si>
    <t>EBITDA from revenue synergies</t>
  </si>
  <si>
    <t>Total EBITDA synergies</t>
  </si>
  <si>
    <t>Pro forma revenue</t>
  </si>
  <si>
    <t>Pro forma EBITDA</t>
  </si>
  <si>
    <t>Pro forma EBITDA margin</t>
  </si>
  <si>
    <t>Illustrative EPS Accretion / Dilution</t>
  </si>
  <si>
    <t>DoorDash standalone EPS</t>
  </si>
  <si>
    <t>After-tax synergies</t>
  </si>
  <si>
    <t>After-tax interest</t>
  </si>
  <si>
    <t>Pro forma net income</t>
  </si>
  <si>
    <t>Pro forma shares</t>
  </si>
  <si>
    <t>Pro forma EPS</t>
  </si>
  <si>
    <t>EPS accretion / (dilution)</t>
  </si>
  <si>
    <t>Synergy-Adjusted Valuation</t>
  </si>
  <si>
    <t>Synergy-adjusted EBITDA</t>
  </si>
  <si>
    <t>EV / Synergy-adjusted EBITDA</t>
  </si>
  <si>
    <t>Synergy-Adjusted EV / EBITDA Sensitivity</t>
  </si>
  <si>
    <t>EBITDA Synergies \ Acquisition Premium</t>
  </si>
  <si>
    <t>Sources</t>
  </si>
  <si>
    <t>Item</t>
  </si>
  <si>
    <t>URL</t>
  </si>
  <si>
    <t>Instacart reference market price / shares</t>
  </si>
  <si>
    <t>https://stockanalysis.com/stocks/cart/</t>
  </si>
  <si>
    <t>Instacart 2025 financials</t>
  </si>
  <si>
    <t>https://www.sec.gov/Archives/edgar/data/1579091/000157909126000018/cart-20251231.htm</t>
  </si>
  <si>
    <t>Instacart Q2 2026 shares</t>
  </si>
  <si>
    <t>SEC 10-Q</t>
  </si>
  <si>
    <t>https://www.sec.gov/Archives/edgar/data/1579091/000157909126000042/cart-20260630.htm</t>
  </si>
  <si>
    <t>DoorDash 2025 financials</t>
  </si>
  <si>
    <t>https://www.sec.gov/Archives/edgar/data/1792789/000179278926000013/dash-20251231.htm</t>
  </si>
  <si>
    <t>DoorDash market price / shares</t>
  </si>
  <si>
    <t>https://stockanalysis.com/stocks/dash/</t>
  </si>
  <si>
    <t>DoorDash Q2 2026 results</t>
  </si>
  <si>
    <t>DoorDash IR</t>
  </si>
  <si>
    <t>https://ir.doordash.com/financials/quarterly-results/</t>
  </si>
  <si>
    <t>Model assumptions</t>
  </si>
  <si>
    <t>User-adjustable assumptions in Assumptions sheet</t>
  </si>
  <si>
    <t>DoorDash Deliveroo acquisition</t>
  </si>
  <si>
    <t>https://ir.doordash.com/news/news-details/2025/DoorDash-Announces-Agreement-to-Acquire-Deliveroo/default.aspx</t>
  </si>
  <si>
    <t>Illustrative case assumptions</t>
  </si>
  <si>
    <t>Portfolio case study</t>
  </si>
  <si>
    <t>Acquisition premium, financing mix, synergies and integration costs are hypothetical.</t>
  </si>
  <si>
    <t>Scenario Analysis</t>
  </si>
  <si>
    <t>Bear</t>
  </si>
  <si>
    <t>Base</t>
  </si>
  <si>
    <t>Bull</t>
  </si>
  <si>
    <t>Notes</t>
  </si>
  <si>
    <t>Revenue synergy EBITDA margin</t>
  </si>
  <si>
    <t>Cost + revenue synergy EBITDA</t>
  </si>
  <si>
    <t>Reference equity value × (1 + premium)</t>
  </si>
  <si>
    <t>Transaction EV</t>
  </si>
  <si>
    <t>Offer equity value + preferred - cash</t>
  </si>
  <si>
    <t>EV / Standalone EBITDA</t>
  </si>
  <si>
    <t>Transaction EV / Instacart EBITDA</t>
  </si>
  <si>
    <t>Transaction EV / (Instacart EBITDA + synergies)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</si>
</sst>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%"/>
    <numFmt numFmtId="167" formatCode="0.0\x"/>
    <numFmt numFmtId="168" formatCode="\$#,##0.0"/>
    <numFmt numFmtId="170" formatCode="\$0.00;[Red]\(\$0.00\);\-"/>
    <numFmt numFmtId="171" formatCode="\$#,##0;[Red]\(\$#,##0\);\-"/>
    <numFmt numFmtId="172" formatCode="0.0%;[Red]\(0.0%\);\-"/>
    <numFmt numFmtId="173" formatCode="0.0\x;[Red]\(0.0\x\);\-"/>
    <numFmt numFmtId="174" formatCode="#,##0.0;[Red]\(#,##0.0\);\-"/>
    <numFmt numFmtId="175" formatCode="\$#,##0&quot;mm&quot;"/>
  </numFmts>
  <fonts count="25">
    <font>
      <sz val="11"/>
      <name val="Carlito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6B7280"/>
      <name val="Arial"/>
      <family val="2"/>
    </font>
    <font>
      <b/>
      <sz val="10"/>
      <color rgb="FF111827"/>
      <name val="Arial"/>
      <family val="2"/>
    </font>
    <font>
      <b/>
      <sz val="11"/>
      <color rgb="FF008000"/>
      <name val="Arial"/>
      <family val="2"/>
    </font>
    <font>
      <b/>
      <sz val="14"/>
      <color rgb="FFFF3008"/>
      <name val="Arial"/>
      <family val="2"/>
    </font>
    <font>
      <sz val="10"/>
      <color rgb="FF008000"/>
      <name val="Arial"/>
      <family val="2"/>
    </font>
    <font>
      <b/>
      <sz val="10"/>
      <color rgb="FF008000"/>
      <name val="Arial"/>
      <family val="2"/>
    </font>
    <font>
      <i/>
      <sz val="9"/>
      <color rgb="FF6B7280"/>
      <name val="Arial"/>
      <family val="2"/>
    </font>
    <font>
      <b/>
      <sz val="15"/>
      <color rgb="FFFFFFFF"/>
      <name val="Arial"/>
      <family val="2"/>
    </font>
    <font>
      <sz val="10"/>
      <color rgb="FF111827"/>
      <name val="Arial"/>
      <family val="2"/>
    </font>
    <font>
      <b/>
      <sz val="11"/>
      <color rgb="FF111827"/>
      <name val="Arial"/>
      <family val="2"/>
    </font>
    <font>
      <sz val="10"/>
      <color rgb="FF0000FF"/>
      <name val="Arial"/>
      <family val="2"/>
    </font>
    <font>
      <b/>
      <sz val="11"/>
      <color rgb="FF0000FF"/>
      <name val="Arial"/>
      <family val="2"/>
    </font>
    <font>
      <sz val="9"/>
      <color rgb="FF6B7280"/>
      <name val="Arial"/>
      <family val="2"/>
    </font>
    <font>
      <b/>
      <sz val="9"/>
      <color rgb="FF6B7280"/>
      <name val="Arial"/>
      <family val="2"/>
    </font>
    <font>
      <sz val="9"/>
      <color rgb="FF0563C1"/>
      <name val="Arial"/>
      <family val="2"/>
    </font>
    <font>
      <sz val="9"/>
      <color rgb="FF111827"/>
      <name val="Arial"/>
      <family val="2"/>
    </font>
    <font>
      <b/>
      <sz val="9"/>
      <color rgb="FF111827"/>
      <name val="Arial"/>
      <family val="2"/>
    </font>
    <font>
      <b/>
      <sz val="8"/>
      <color rgb="FF111827"/>
      <name val="Arial"/>
      <family val="2"/>
    </font>
    <font>
      <sz val="8"/>
      <color rgb="FF6B7280"/>
      <name val="Arial"/>
      <family val="2"/>
    </font>
    <font>
      <sz val="8"/>
      <color rgb="FF008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D9E1F2"/>
      </patternFill>
    </fill>
    <fill>
      <patternFill patternType="solid">
        <fgColor rgb="FF0B1F33"/>
      </patternFill>
    </fill>
    <fill>
      <patternFill patternType="solid">
        <fgColor rgb="FFE8EEF5"/>
      </patternFill>
    </fill>
    <fill>
      <patternFill patternType="solid">
        <fgColor rgb="FF111827"/>
      </patternFill>
    </fill>
    <fill>
      <patternFill patternType="solid">
        <fgColor rgb="FFE5E7EB"/>
      </patternFill>
    </fill>
    <fill>
      <patternFill patternType="solid">
        <fgColor rgb="FFFFF0EB"/>
      </patternFill>
    </fill>
    <fill>
      <patternFill patternType="solid">
        <fgColor rgb="FFFAFAFA"/>
      </patternFill>
    </fill>
    <fill>
      <patternFill patternType="solid">
        <fgColor rgb="FFF3F4F6"/>
      </patternFill>
    </fill>
    <fill>
      <patternFill patternType="solid">
        <fgColor rgb="FFFFF2CC"/>
      </patternFill>
    </fill>
    <fill>
      <patternFill patternType="solid">
        <fgColor rgb="FFEEF7EA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4" fillId="0" borderId="0" xfId="0" applyFont="1" applyAlignment="1">
      <alignment vertical="center"/>
    </xf>
    <xf numFmtId="168" fontId="4" fillId="0" borderId="0" xfId="0" applyNumberFormat="1" applyFont="1" applyAlignment="1">
      <alignment vertical="center"/>
    </xf>
    <xf numFmtId="167" fontId="4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 wrapText="1"/>
    </xf>
    <xf numFmtId="0" fontId="6" fillId="7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6" fillId="7" borderId="0" xfId="0" applyFont="1" applyFill="1" applyAlignment="1">
      <alignment horizontal="center"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0" fillId="7" borderId="0" xfId="0" applyFont="1" applyFill="1" applyAlignment="1">
      <alignment horizontal="center" vertical="center"/>
    </xf>
    <xf numFmtId="0" fontId="6" fillId="12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170" fontId="15" fillId="0" borderId="0" xfId="0" applyNumberFormat="1" applyFont="1" applyAlignment="1">
      <alignment vertical="center"/>
    </xf>
    <xf numFmtId="171" fontId="15" fillId="0" borderId="0" xfId="0" applyNumberFormat="1" applyFont="1" applyAlignment="1">
      <alignment vertical="center"/>
    </xf>
    <xf numFmtId="172" fontId="15" fillId="11" borderId="0" xfId="0" applyNumberFormat="1" applyFont="1" applyFill="1" applyAlignment="1">
      <alignment vertical="center"/>
    </xf>
    <xf numFmtId="171" fontId="15" fillId="11" borderId="0" xfId="0" applyNumberFormat="1" applyFont="1" applyFill="1" applyAlignment="1">
      <alignment vertical="center"/>
    </xf>
    <xf numFmtId="171" fontId="9" fillId="0" borderId="0" xfId="0" applyNumberFormat="1" applyFont="1" applyAlignment="1">
      <alignment vertical="center"/>
    </xf>
    <xf numFmtId="173" fontId="9" fillId="0" borderId="0" xfId="0" applyNumberFormat="1" applyFont="1" applyAlignment="1">
      <alignment vertical="center"/>
    </xf>
    <xf numFmtId="174" fontId="9" fillId="0" borderId="0" xfId="0" applyNumberFormat="1" applyFont="1" applyAlignment="1">
      <alignment vertical="center"/>
    </xf>
    <xf numFmtId="172" fontId="9" fillId="0" borderId="0" xfId="0" applyNumberFormat="1" applyFont="1" applyAlignment="1">
      <alignment vertical="center"/>
    </xf>
    <xf numFmtId="170" fontId="9" fillId="0" borderId="0" xfId="0" applyNumberFormat="1" applyFont="1" applyAlignment="1">
      <alignment vertical="center"/>
    </xf>
    <xf numFmtId="171" fontId="10" fillId="12" borderId="0" xfId="0" applyNumberFormat="1" applyFont="1" applyFill="1" applyAlignment="1">
      <alignment vertical="center"/>
    </xf>
    <xf numFmtId="173" fontId="10" fillId="12" borderId="0" xfId="0" applyNumberFormat="1" applyFont="1" applyFill="1" applyAlignment="1">
      <alignment vertical="center"/>
    </xf>
    <xf numFmtId="172" fontId="7" fillId="3" borderId="0" xfId="0" applyNumberFormat="1" applyFont="1" applyFill="1" applyAlignment="1">
      <alignment horizontal="right" vertical="center"/>
    </xf>
    <xf numFmtId="171" fontId="7" fillId="3" borderId="0" xfId="0" applyNumberFormat="1" applyFont="1" applyFill="1" applyAlignment="1">
      <alignment horizontal="right" vertical="center"/>
    </xf>
    <xf numFmtId="173" fontId="7" fillId="3" borderId="0" xfId="0" applyNumberFormat="1" applyFont="1" applyFill="1" applyAlignment="1">
      <alignment horizontal="right" vertical="center"/>
    </xf>
    <xf numFmtId="171" fontId="9" fillId="0" borderId="0" xfId="0" applyNumberFormat="1" applyFont="1" applyAlignment="1">
      <alignment vertical="center" wrapText="1"/>
    </xf>
    <xf numFmtId="171" fontId="10" fillId="3" borderId="0" xfId="0" applyNumberFormat="1" applyFont="1" applyFill="1" applyAlignment="1">
      <alignment horizontal="center" vertical="center"/>
    </xf>
    <xf numFmtId="172" fontId="15" fillId="0" borderId="0" xfId="0" applyNumberFormat="1" applyFont="1" applyAlignment="1">
      <alignment vertical="center"/>
    </xf>
    <xf numFmtId="171" fontId="4" fillId="0" borderId="0" xfId="0" applyNumberFormat="1" applyFont="1" applyAlignment="1">
      <alignment vertical="center"/>
    </xf>
    <xf numFmtId="173" fontId="4" fillId="0" borderId="0" xfId="0" applyNumberFormat="1" applyFont="1" applyAlignment="1">
      <alignment vertical="center"/>
    </xf>
    <xf numFmtId="9" fontId="6" fillId="7" borderId="0" xfId="0" applyNumberFormat="1" applyFont="1" applyFill="1" applyAlignment="1">
      <alignment horizontal="center" vertical="center"/>
    </xf>
    <xf numFmtId="175" fontId="6" fillId="10" borderId="0" xfId="0" applyNumberFormat="1" applyFont="1" applyFill="1" applyAlignment="1">
      <alignment horizontal="right" vertical="center"/>
    </xf>
    <xf numFmtId="173" fontId="6" fillId="13" borderId="0" xfId="0" applyNumberFormat="1" applyFont="1" applyFill="1" applyAlignment="1">
      <alignment vertical="center"/>
    </xf>
    <xf numFmtId="0" fontId="20" fillId="0" borderId="0" xfId="0" applyFont="1" applyAlignment="1">
      <alignment vertical="center" wrapText="1"/>
    </xf>
    <xf numFmtId="0" fontId="21" fillId="7" borderId="0" xfId="0" applyFont="1" applyFill="1" applyAlignment="1">
      <alignment horizontal="center" vertical="center" wrapText="1"/>
    </xf>
    <xf numFmtId="0" fontId="21" fillId="9" borderId="0" xfId="0" applyFont="1" applyFill="1" applyAlignment="1">
      <alignment horizontal="center" vertical="center" wrapText="1"/>
    </xf>
    <xf numFmtId="170" fontId="7" fillId="3" borderId="0" xfId="0" applyNumberFormat="1" applyFont="1" applyFill="1" applyAlignment="1">
      <alignment horizontal="right" vertical="center"/>
    </xf>
    <xf numFmtId="0" fontId="22" fillId="7" borderId="0" xfId="0" applyFont="1" applyFill="1" applyAlignment="1">
      <alignment vertical="center"/>
    </xf>
    <xf numFmtId="0" fontId="23" fillId="0" borderId="0" xfId="0" applyFont="1" applyAlignment="1">
      <alignment vertical="center"/>
    </xf>
    <xf numFmtId="171" fontId="23" fillId="0" borderId="0" xfId="0" applyNumberFormat="1" applyFont="1" applyAlignment="1">
      <alignment vertical="center"/>
    </xf>
    <xf numFmtId="171" fontId="24" fillId="0" borderId="0" xfId="0" applyNumberFormat="1" applyFont="1" applyAlignment="1">
      <alignment vertical="center"/>
    </xf>
    <xf numFmtId="0" fontId="1" fillId="4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2" fillId="6" borderId="0" xfId="0" applyFont="1" applyFill="1" applyAlignment="1">
      <alignment vertical="center" wrapText="1"/>
    </xf>
    <xf numFmtId="168" fontId="2" fillId="6" borderId="0" xfId="0" applyNumberFormat="1" applyFont="1" applyFill="1" applyAlignment="1">
      <alignment vertical="center"/>
    </xf>
    <xf numFmtId="0" fontId="11" fillId="10" borderId="0" xfId="0" applyFont="1" applyFill="1" applyAlignment="1">
      <alignment vertical="top" wrapText="1"/>
    </xf>
    <xf numFmtId="164" fontId="11" fillId="10" borderId="0" xfId="0" applyNumberFormat="1" applyFont="1" applyFill="1" applyAlignment="1">
      <alignment vertical="top" wrapText="1"/>
    </xf>
    <xf numFmtId="0" fontId="12" fillId="4" borderId="0" xfId="0" applyFont="1" applyFill="1" applyAlignment="1">
      <alignment vertical="center"/>
    </xf>
    <xf numFmtId="0" fontId="14" fillId="6" borderId="0" xfId="0" applyFont="1" applyFill="1" applyAlignment="1">
      <alignment vertical="center"/>
    </xf>
    <xf numFmtId="0" fontId="16" fillId="6" borderId="0" xfId="0" applyFont="1" applyFill="1" applyAlignment="1">
      <alignment vertical="center"/>
    </xf>
    <xf numFmtId="0" fontId="16" fillId="11" borderId="0" xfId="0" applyFont="1" applyFill="1" applyAlignment="1">
      <alignment vertical="center"/>
    </xf>
    <xf numFmtId="0" fontId="18" fillId="6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7" fillId="6" borderId="0" xfId="0" applyFont="1" applyFill="1" applyAlignment="1">
      <alignment vertical="center"/>
    </xf>
    <xf numFmtId="0" fontId="12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Instacart EBITDA: Standalone vs. Synergy-Adjusted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$mm</c:v>
          </c:tx>
          <c:invertIfNegative val="1"/>
          <c:cat>
            <c:strRef>
              <c:f>Summary!$J$18:$J$19</c:f>
              <c:strCache>
                <c:ptCount val="2"/>
                <c:pt idx="0">
                  <c:v>Standalone EBITDA</c:v>
                </c:pt>
                <c:pt idx="1">
                  <c:v>Synergy-Adjusted EBITDA</c:v>
                </c:pt>
              </c:strCache>
            </c:strRef>
          </c:cat>
          <c:val>
            <c:numRef>
              <c:f>Summary!$K$18:$K$19</c:f>
              <c:numCache>
                <c:formatCode>\$#,##0;[Red]\(\$#,##0\);\-</c:formatCode>
                <c:ptCount val="2"/>
                <c:pt idx="0">
                  <c:v>1087</c:v>
                </c:pt>
                <c:pt idx="1">
                  <c:v>1407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5B-4947-A355-1EAAEE85D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;[Red]\(\$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0"/>
  <sheetViews>
    <sheetView topLeftCell="A4" workbookViewId="0">
      <selection sqref="A1:H1"/>
    </sheetView>
  </sheetViews>
  <sheetFormatPr baseColWidth="10" defaultColWidth="8.83203125" defaultRowHeight="14"/>
  <cols>
    <col min="1" max="1" width="24" customWidth="1"/>
    <col min="2" max="6" width="18" customWidth="1"/>
    <col min="7" max="7" width="20" customWidth="1"/>
    <col min="8" max="8" width="18" customWidth="1"/>
  </cols>
  <sheetData>
    <row r="1" spans="1:26" ht="37.25" customHeight="1">
      <c r="A1" s="50" t="s">
        <v>0</v>
      </c>
      <c r="B1" s="50"/>
      <c r="C1" s="50"/>
      <c r="D1" s="50"/>
      <c r="E1" s="50"/>
      <c r="F1" s="50"/>
      <c r="G1" s="50"/>
      <c r="H1" s="50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6.75" customHeight="1">
      <c r="A2" s="51" t="s">
        <v>1</v>
      </c>
      <c r="B2" s="51"/>
      <c r="C2" s="51"/>
      <c r="D2" s="51"/>
      <c r="E2" s="51"/>
      <c r="F2" s="51"/>
      <c r="G2" s="51"/>
      <c r="H2" s="5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9.25" customHeight="1">
      <c r="A4" s="52" t="s">
        <v>2</v>
      </c>
      <c r="B4" s="52"/>
      <c r="C4" s="52"/>
      <c r="D4" s="52"/>
      <c r="E4" s="52"/>
      <c r="F4" s="52"/>
      <c r="G4" s="52"/>
      <c r="H4" s="5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0" customHeight="1">
      <c r="A5" s="43" t="s">
        <v>3</v>
      </c>
      <c r="B5" s="43" t="s">
        <v>4</v>
      </c>
      <c r="C5" s="43" t="s">
        <v>5</v>
      </c>
      <c r="D5" s="43" t="s">
        <v>6</v>
      </c>
      <c r="E5" s="43" t="s">
        <v>7</v>
      </c>
      <c r="F5" s="43" t="s">
        <v>8</v>
      </c>
      <c r="G5" s="43" t="s">
        <v>9</v>
      </c>
      <c r="H5" s="43" t="s">
        <v>10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1">
        <f>Assumptions!C12</f>
        <v>0.25</v>
      </c>
      <c r="B6" s="32">
        <f>Model!B6</f>
        <v>12851.143749999999</v>
      </c>
      <c r="C6" s="32">
        <f>Model!B9</f>
        <v>12280.143749999999</v>
      </c>
      <c r="D6" s="33">
        <f>Model!B11</f>
        <v>11.297280358785647</v>
      </c>
      <c r="E6" s="32">
        <f>Model!B21</f>
        <v>320</v>
      </c>
      <c r="F6" s="32">
        <f>Model!B38</f>
        <v>1407</v>
      </c>
      <c r="G6" s="33">
        <f>Model!B39</f>
        <v>8.727891791044776</v>
      </c>
      <c r="H6" s="45">
        <f>Assumptions!C5*(1+Assumptions!C12)</f>
        <v>55.512499999999996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2"/>
      <c r="B7" s="2"/>
      <c r="C7" s="3"/>
      <c r="D7" s="2"/>
      <c r="E7" s="2"/>
      <c r="F7" s="4"/>
      <c r="G7" s="2"/>
      <c r="H7" s="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9.25" customHeight="1">
      <c r="A8" s="52" t="s">
        <v>11</v>
      </c>
      <c r="B8" s="52"/>
      <c r="C8" s="52"/>
      <c r="D8" s="52"/>
      <c r="E8" s="52"/>
      <c r="F8" s="52"/>
      <c r="G8" s="52"/>
      <c r="H8" s="5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4.75" customHeight="1">
      <c r="A9" s="7" t="s">
        <v>12</v>
      </c>
      <c r="B9" s="7"/>
      <c r="C9" s="7"/>
      <c r="D9" s="7"/>
      <c r="E9" s="7"/>
      <c r="F9" s="7"/>
      <c r="G9" s="7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7.25" customHeight="1">
      <c r="A10" s="44" t="s">
        <v>13</v>
      </c>
      <c r="B10" s="44" t="s">
        <v>14</v>
      </c>
      <c r="C10" s="44" t="s">
        <v>15</v>
      </c>
      <c r="D10" s="44" t="s">
        <v>16</v>
      </c>
      <c r="E10" s="44" t="s">
        <v>17</v>
      </c>
      <c r="F10" s="44" t="s">
        <v>18</v>
      </c>
      <c r="G10" s="44" t="s">
        <v>19</v>
      </c>
      <c r="H10" s="44" t="s">
        <v>20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5"/>
      <c r="B11" s="5"/>
      <c r="C11" s="5"/>
      <c r="D11" s="5"/>
      <c r="E11" s="5"/>
      <c r="F11" s="5"/>
      <c r="G11" s="5"/>
      <c r="H11" s="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9.25" customHeight="1">
      <c r="A12" s="53" t="s">
        <v>21</v>
      </c>
      <c r="B12" s="53"/>
      <c r="C12" s="53"/>
      <c r="D12" s="53"/>
      <c r="E12" s="53"/>
      <c r="F12" s="53"/>
      <c r="G12" s="53"/>
      <c r="H12" s="5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6" t="s">
        <v>22</v>
      </c>
      <c r="B13" s="6" t="s">
        <v>23</v>
      </c>
      <c r="C13" s="6" t="s">
        <v>24</v>
      </c>
      <c r="D13" s="6" t="s">
        <v>25</v>
      </c>
      <c r="E13" s="5"/>
      <c r="F13" s="5"/>
      <c r="G13" s="5"/>
      <c r="H13" s="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8" t="s">
        <v>26</v>
      </c>
      <c r="B14" s="34">
        <v>13717</v>
      </c>
      <c r="C14" s="34">
        <v>3740</v>
      </c>
      <c r="D14" s="34">
        <f>SUM(B14:C14)</f>
        <v>17457</v>
      </c>
      <c r="E14" s="5"/>
      <c r="F14" s="5"/>
      <c r="G14" s="5"/>
      <c r="H14" s="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9" t="s">
        <v>27</v>
      </c>
      <c r="B15" s="24">
        <v>2779</v>
      </c>
      <c r="C15" s="24">
        <v>1087</v>
      </c>
      <c r="D15" s="24">
        <f>SUM(B15:C15)</f>
        <v>3866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0" t="s">
        <v>28</v>
      </c>
      <c r="B16" s="35">
        <v>935</v>
      </c>
      <c r="C16" s="35">
        <v>447</v>
      </c>
      <c r="D16" s="24">
        <f>SUM(B16:C16)</f>
        <v>1382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9" t="s">
        <v>29</v>
      </c>
      <c r="B17" s="24">
        <v>102020</v>
      </c>
      <c r="C17" s="24">
        <v>37220</v>
      </c>
      <c r="D17" s="24">
        <f>SUM(B17:C17)</f>
        <v>139240</v>
      </c>
      <c r="E17" s="1"/>
      <c r="F17" s="1"/>
      <c r="G17" s="1"/>
      <c r="H17" s="1"/>
      <c r="I17" s="1"/>
      <c r="J17" s="46" t="s">
        <v>22</v>
      </c>
      <c r="K17" s="46" t="s">
        <v>30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2"/>
      <c r="C18" s="2"/>
      <c r="D18" s="1"/>
      <c r="E18" s="1"/>
      <c r="F18" s="1"/>
      <c r="G18" s="1"/>
      <c r="H18" s="1"/>
      <c r="I18" s="1"/>
      <c r="J18" s="47" t="s">
        <v>31</v>
      </c>
      <c r="K18" s="48">
        <v>1087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9.25" customHeight="1">
      <c r="A19" s="52" t="s">
        <v>32</v>
      </c>
      <c r="B19" s="54"/>
      <c r="C19" s="54"/>
      <c r="D19" s="52"/>
      <c r="E19" s="52"/>
      <c r="F19" s="52"/>
      <c r="G19" s="52"/>
      <c r="H19" s="52"/>
      <c r="I19" s="1"/>
      <c r="J19" s="47" t="s">
        <v>33</v>
      </c>
      <c r="K19" s="49">
        <f>Model!B38</f>
        <v>1407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69.25" customHeight="1">
      <c r="A20" s="55" t="s">
        <v>34</v>
      </c>
      <c r="B20" s="56"/>
      <c r="C20" s="56"/>
      <c r="D20" s="55"/>
      <c r="E20" s="55"/>
      <c r="F20" s="55"/>
      <c r="G20" s="55"/>
      <c r="H20" s="55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</sheetData>
  <mergeCells count="7">
    <mergeCell ref="A19:H19"/>
    <mergeCell ref="A20:H20"/>
    <mergeCell ref="A1:H1"/>
    <mergeCell ref="A2:H2"/>
    <mergeCell ref="A4:H4"/>
    <mergeCell ref="A8:H8"/>
    <mergeCell ref="A12:H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0"/>
  <sheetViews>
    <sheetView tabSelected="1" workbookViewId="0">
      <selection sqref="A1:F1"/>
    </sheetView>
  </sheetViews>
  <sheetFormatPr baseColWidth="10" defaultColWidth="8.83203125" defaultRowHeight="14"/>
  <cols>
    <col min="1" max="1" width="32" customWidth="1"/>
    <col min="2" max="2" width="16" customWidth="1"/>
    <col min="3" max="3" width="18" customWidth="1"/>
    <col min="4" max="4" width="14" customWidth="1"/>
    <col min="5" max="5" width="18" customWidth="1"/>
    <col min="6" max="6" width="34" customWidth="1"/>
  </cols>
  <sheetData>
    <row r="1" spans="1:26" ht="34.75" customHeight="1">
      <c r="A1" s="57" t="s">
        <v>35</v>
      </c>
      <c r="B1" s="57"/>
      <c r="C1" s="57"/>
      <c r="D1" s="57"/>
      <c r="E1" s="57"/>
      <c r="F1" s="5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52" t="s">
        <v>36</v>
      </c>
      <c r="B3" s="52"/>
      <c r="C3" s="52"/>
      <c r="D3" s="52"/>
      <c r="E3" s="52"/>
      <c r="F3" s="5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2" t="s">
        <v>37</v>
      </c>
      <c r="B4" s="12" t="s">
        <v>23</v>
      </c>
      <c r="C4" s="12" t="s">
        <v>38</v>
      </c>
      <c r="D4" s="12" t="s">
        <v>39</v>
      </c>
      <c r="E4" s="12" t="s">
        <v>40</v>
      </c>
      <c r="F4" s="12" t="s">
        <v>41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3" t="s">
        <v>42</v>
      </c>
      <c r="B5" s="20">
        <v>193.73</v>
      </c>
      <c r="C5" s="20">
        <v>44.41</v>
      </c>
      <c r="D5" s="15" t="s">
        <v>43</v>
      </c>
      <c r="E5" s="15" t="s">
        <v>44</v>
      </c>
      <c r="F5" s="15" t="s">
        <v>45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3" t="s">
        <v>46</v>
      </c>
      <c r="B6" s="21">
        <v>433.3</v>
      </c>
      <c r="C6" s="21">
        <v>231.5</v>
      </c>
      <c r="D6" s="15" t="s">
        <v>47</v>
      </c>
      <c r="E6" s="15" t="s">
        <v>48</v>
      </c>
      <c r="F6" s="15" t="s">
        <v>49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3" t="s">
        <v>26</v>
      </c>
      <c r="B7" s="21">
        <v>13717</v>
      </c>
      <c r="C7" s="21">
        <v>3740</v>
      </c>
      <c r="D7" s="15" t="s">
        <v>30</v>
      </c>
      <c r="E7" s="15" t="s">
        <v>50</v>
      </c>
      <c r="F7" s="15" t="s">
        <v>51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3" t="s">
        <v>27</v>
      </c>
      <c r="B8" s="21">
        <v>2779</v>
      </c>
      <c r="C8" s="21">
        <v>1087</v>
      </c>
      <c r="D8" s="15" t="s">
        <v>30</v>
      </c>
      <c r="E8" s="15" t="s">
        <v>50</v>
      </c>
      <c r="F8" s="15" t="s">
        <v>51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3" t="s">
        <v>52</v>
      </c>
      <c r="B9" s="21">
        <v>935</v>
      </c>
      <c r="C9" s="21">
        <v>447</v>
      </c>
      <c r="D9" s="15" t="s">
        <v>30</v>
      </c>
      <c r="E9" s="15" t="s">
        <v>50</v>
      </c>
      <c r="F9" s="15" t="s">
        <v>51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3" t="s">
        <v>53</v>
      </c>
      <c r="B10" s="21">
        <v>6300</v>
      </c>
      <c r="C10" s="21">
        <v>767</v>
      </c>
      <c r="D10" s="15" t="s">
        <v>30</v>
      </c>
      <c r="E10" s="15" t="s">
        <v>54</v>
      </c>
      <c r="F10" s="15" t="s">
        <v>51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3" t="s">
        <v>55</v>
      </c>
      <c r="B11" s="21">
        <v>0</v>
      </c>
      <c r="C11" s="21">
        <v>196</v>
      </c>
      <c r="D11" s="15" t="s">
        <v>30</v>
      </c>
      <c r="E11" s="15" t="s">
        <v>54</v>
      </c>
      <c r="F11" s="15" t="s">
        <v>51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3" t="s">
        <v>56</v>
      </c>
      <c r="B12" s="14"/>
      <c r="C12" s="22">
        <v>0.25</v>
      </c>
      <c r="D12" s="15" t="s">
        <v>57</v>
      </c>
      <c r="E12" s="15" t="s">
        <v>58</v>
      </c>
      <c r="F12" s="15" t="s">
        <v>59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3" t="s">
        <v>60</v>
      </c>
      <c r="B13" s="14"/>
      <c r="C13" s="22">
        <v>0.3</v>
      </c>
      <c r="D13" s="15" t="s">
        <v>57</v>
      </c>
      <c r="E13" s="15" t="s">
        <v>58</v>
      </c>
      <c r="F13" s="15" t="s">
        <v>59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3" t="s">
        <v>61</v>
      </c>
      <c r="B14" s="14"/>
      <c r="C14" s="22">
        <v>0.3</v>
      </c>
      <c r="D14" s="15" t="s">
        <v>57</v>
      </c>
      <c r="E14" s="15" t="s">
        <v>58</v>
      </c>
      <c r="F14" s="15" t="s">
        <v>59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3" t="s">
        <v>62</v>
      </c>
      <c r="B15" s="14"/>
      <c r="C15" s="22">
        <v>0.4</v>
      </c>
      <c r="D15" s="15" t="s">
        <v>57</v>
      </c>
      <c r="E15" s="15" t="s">
        <v>58</v>
      </c>
      <c r="F15" s="15" t="s">
        <v>59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3" t="s">
        <v>63</v>
      </c>
      <c r="B16" s="14"/>
      <c r="C16" s="22">
        <v>5.5E-2</v>
      </c>
      <c r="D16" s="15" t="s">
        <v>57</v>
      </c>
      <c r="E16" s="15" t="s">
        <v>58</v>
      </c>
      <c r="F16" s="15" t="s">
        <v>59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3" t="s">
        <v>64</v>
      </c>
      <c r="B17" s="14"/>
      <c r="C17" s="22">
        <v>0.25</v>
      </c>
      <c r="D17" s="15" t="s">
        <v>57</v>
      </c>
      <c r="E17" s="15" t="s">
        <v>58</v>
      </c>
      <c r="F17" s="15" t="s">
        <v>59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3" t="s">
        <v>65</v>
      </c>
      <c r="B18" s="14"/>
      <c r="C18" s="23">
        <v>250</v>
      </c>
      <c r="D18" s="15" t="s">
        <v>30</v>
      </c>
      <c r="E18" s="15" t="s">
        <v>58</v>
      </c>
      <c r="F18" s="15" t="s">
        <v>59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3" t="s">
        <v>66</v>
      </c>
      <c r="B19" s="14"/>
      <c r="C19" s="23">
        <v>200</v>
      </c>
      <c r="D19" s="15" t="s">
        <v>30</v>
      </c>
      <c r="E19" s="15" t="s">
        <v>58</v>
      </c>
      <c r="F19" s="15" t="s">
        <v>59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3" t="s">
        <v>67</v>
      </c>
      <c r="B20" s="14"/>
      <c r="C20" s="22">
        <v>0.35</v>
      </c>
      <c r="D20" s="15" t="s">
        <v>57</v>
      </c>
      <c r="E20" s="15" t="s">
        <v>58</v>
      </c>
      <c r="F20" s="15" t="s">
        <v>59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3" t="s">
        <v>68</v>
      </c>
      <c r="B21" s="14"/>
      <c r="C21" s="23">
        <v>500</v>
      </c>
      <c r="D21" s="15" t="s">
        <v>30</v>
      </c>
      <c r="E21" s="15" t="s">
        <v>58</v>
      </c>
      <c r="F21" s="15" t="s">
        <v>59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58" t="s">
        <v>69</v>
      </c>
      <c r="B22" s="59"/>
      <c r="C22" s="60"/>
      <c r="D22" s="61"/>
      <c r="E22" s="61"/>
      <c r="F22" s="6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3" t="s">
        <v>70</v>
      </c>
      <c r="B23" s="14"/>
      <c r="C23" s="22">
        <v>0.3</v>
      </c>
      <c r="D23" s="15" t="s">
        <v>57</v>
      </c>
      <c r="E23" s="15" t="s">
        <v>58</v>
      </c>
      <c r="F23" s="15" t="s">
        <v>59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</sheetData>
  <mergeCells count="3">
    <mergeCell ref="A1:F1"/>
    <mergeCell ref="A3:F3"/>
    <mergeCell ref="A22:F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60"/>
  <sheetViews>
    <sheetView workbookViewId="0"/>
  </sheetViews>
  <sheetFormatPr baseColWidth="10" defaultColWidth="8.83203125" defaultRowHeight="14"/>
  <cols>
    <col min="1" max="1" width="34" customWidth="1"/>
    <col min="2" max="2" width="18" customWidth="1"/>
    <col min="3" max="3" width="14" customWidth="1"/>
  </cols>
  <sheetData>
    <row r="1" spans="1:26" ht="34.75" customHeight="1">
      <c r="A1" s="57" t="s">
        <v>71</v>
      </c>
      <c r="B1" s="57"/>
      <c r="C1" s="57"/>
      <c r="D1" s="6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52" t="s">
        <v>72</v>
      </c>
      <c r="B3" s="52"/>
      <c r="C3" s="52"/>
      <c r="D3" s="6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2" t="s">
        <v>22</v>
      </c>
      <c r="B4" s="12" t="s">
        <v>73</v>
      </c>
      <c r="C4" s="12" t="s">
        <v>39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3" t="s">
        <v>74</v>
      </c>
      <c r="B5" s="24">
        <f>Assumptions!C5*Assumptions!C6</f>
        <v>10280.914999999999</v>
      </c>
      <c r="C5" s="1" t="s">
        <v>30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3" t="s">
        <v>75</v>
      </c>
      <c r="B6" s="24">
        <f>B5*(1+Assumptions!C12)</f>
        <v>12851.143749999999</v>
      </c>
      <c r="C6" s="1" t="s">
        <v>30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3" t="s">
        <v>76</v>
      </c>
      <c r="B7" s="24">
        <f>Assumptions!C10</f>
        <v>767</v>
      </c>
      <c r="C7" s="1" t="s">
        <v>30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3" t="s">
        <v>77</v>
      </c>
      <c r="B8" s="24">
        <f>Assumptions!C11</f>
        <v>196</v>
      </c>
      <c r="C8" s="1" t="s">
        <v>30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3" t="s">
        <v>78</v>
      </c>
      <c r="B9" s="24">
        <f>B6+B8-B7</f>
        <v>12280.143749999999</v>
      </c>
      <c r="C9" s="1" t="s">
        <v>30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3" t="s">
        <v>79</v>
      </c>
      <c r="B10" s="25">
        <f>B9/Assumptions!C7</f>
        <v>3.2834608957219249</v>
      </c>
      <c r="C10" s="1" t="s">
        <v>80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3" t="s">
        <v>81</v>
      </c>
      <c r="B11" s="25">
        <f>B9/Assumptions!C8</f>
        <v>11.297280358785647</v>
      </c>
      <c r="C11" s="1" t="s">
        <v>80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3"/>
      <c r="B12" s="1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58" t="s">
        <v>82</v>
      </c>
      <c r="B13" s="63"/>
      <c r="C13" s="52"/>
      <c r="D13" s="6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2" t="s">
        <v>22</v>
      </c>
      <c r="B14" s="16" t="s">
        <v>73</v>
      </c>
      <c r="C14" s="12" t="s">
        <v>39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3" t="s">
        <v>83</v>
      </c>
      <c r="B15" s="24">
        <f>B6*Assumptions!C13</f>
        <v>3855.3431249999994</v>
      </c>
      <c r="C15" s="1" t="s">
        <v>30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3" t="s">
        <v>84</v>
      </c>
      <c r="B16" s="24">
        <f>B6*Assumptions!C14</f>
        <v>3855.3431249999994</v>
      </c>
      <c r="C16" s="1" t="s">
        <v>30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3" t="s">
        <v>85</v>
      </c>
      <c r="B17" s="24">
        <f>B6*Assumptions!C15</f>
        <v>5140.4575000000004</v>
      </c>
      <c r="C17" s="1" t="s">
        <v>30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3" t="s">
        <v>86</v>
      </c>
      <c r="B18" s="26">
        <f>B17/Assumptions!B5</f>
        <v>26.534132555618648</v>
      </c>
      <c r="C18" s="1" t="s">
        <v>47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3" t="s">
        <v>87</v>
      </c>
      <c r="B19" s="24">
        <f>B16*Assumptions!C16</f>
        <v>212.04387187499998</v>
      </c>
      <c r="C19" s="1" t="s">
        <v>30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3" t="s">
        <v>88</v>
      </c>
      <c r="B20" s="24">
        <f>Assumptions!C19*Assumptions!C20</f>
        <v>70</v>
      </c>
      <c r="C20" s="1" t="s">
        <v>30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3" t="s">
        <v>89</v>
      </c>
      <c r="B21" s="24">
        <f>Assumptions!C18+B20</f>
        <v>320</v>
      </c>
      <c r="C21" s="1" t="s">
        <v>30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3" t="s">
        <v>90</v>
      </c>
      <c r="B22" s="24">
        <f>Assumptions!B7+Assumptions!C7+Assumptions!C19</f>
        <v>17657</v>
      </c>
      <c r="C22" s="1" t="s">
        <v>30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3" t="s">
        <v>91</v>
      </c>
      <c r="B23" s="24">
        <f>Assumptions!B8+Assumptions!C8+B21</f>
        <v>4186</v>
      </c>
      <c r="C23" s="1" t="s">
        <v>30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3" t="s">
        <v>92</v>
      </c>
      <c r="B24" s="27">
        <f>B23/B22</f>
        <v>0.23707311547828055</v>
      </c>
      <c r="C24" s="1" t="s">
        <v>57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3"/>
      <c r="B25" s="1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58" t="s">
        <v>93</v>
      </c>
      <c r="B26" s="63"/>
      <c r="C26" s="52"/>
      <c r="D26" s="6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2" t="s">
        <v>22</v>
      </c>
      <c r="B27" s="16" t="s">
        <v>73</v>
      </c>
      <c r="C27" s="12" t="s">
        <v>39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3" t="s">
        <v>94</v>
      </c>
      <c r="B28" s="28">
        <f>Assumptions!B9/Assumptions!B6</f>
        <v>2.1578582967920608</v>
      </c>
      <c r="C28" s="1" t="s">
        <v>43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3" t="s">
        <v>95</v>
      </c>
      <c r="B29" s="24">
        <f>B21*(1-Assumptions!C17)</f>
        <v>240</v>
      </c>
      <c r="C29" s="1" t="s">
        <v>30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3" t="s">
        <v>96</v>
      </c>
      <c r="B30" s="24">
        <f>B19*(1-Assumptions!C17)</f>
        <v>159.03290390625</v>
      </c>
      <c r="C30" s="1" t="s">
        <v>30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3" t="s">
        <v>97</v>
      </c>
      <c r="B31" s="24">
        <f>Assumptions!B9+Assumptions!C9+B29-B30</f>
        <v>1462.9670960937501</v>
      </c>
      <c r="C31" s="1" t="s">
        <v>30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3" t="s">
        <v>98</v>
      </c>
      <c r="B32" s="26">
        <f>Assumptions!B6+B18</f>
        <v>459.83413255561868</v>
      </c>
      <c r="C32" s="1" t="s">
        <v>47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3" t="s">
        <v>99</v>
      </c>
      <c r="B33" s="28">
        <f>B31/B32</f>
        <v>3.1815104458710417</v>
      </c>
      <c r="C33" s="1" t="s">
        <v>43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3" t="s">
        <v>100</v>
      </c>
      <c r="B34" s="27">
        <f>B33/B28-1</f>
        <v>0.47438339700098653</v>
      </c>
      <c r="C34" s="1" t="s">
        <v>57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3"/>
      <c r="B35" s="1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58" t="s">
        <v>101</v>
      </c>
      <c r="B36" s="63"/>
      <c r="C36" s="5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2" t="s">
        <v>22</v>
      </c>
      <c r="B37" s="16" t="s">
        <v>73</v>
      </c>
      <c r="C37" s="12" t="s">
        <v>39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7" t="s">
        <v>102</v>
      </c>
      <c r="B38" s="29">
        <f>Assumptions!C8+B21</f>
        <v>1407</v>
      </c>
      <c r="C38" s="17" t="s">
        <v>30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7" t="s">
        <v>103</v>
      </c>
      <c r="B39" s="30">
        <f>B9/B38</f>
        <v>8.727891791044776</v>
      </c>
      <c r="C39" s="17" t="s">
        <v>80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</sheetData>
  <mergeCells count="5">
    <mergeCell ref="A1:D1"/>
    <mergeCell ref="A3:D3"/>
    <mergeCell ref="A13:D13"/>
    <mergeCell ref="A26:D26"/>
    <mergeCell ref="A36:C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60"/>
  <sheetViews>
    <sheetView workbookViewId="0"/>
  </sheetViews>
  <sheetFormatPr baseColWidth="10" defaultColWidth="8.83203125" defaultRowHeight="14"/>
  <cols>
    <col min="1" max="1" width="34" customWidth="1"/>
    <col min="2" max="6" width="14" customWidth="1"/>
  </cols>
  <sheetData>
    <row r="1" spans="1:26" ht="34.75" customHeight="1">
      <c r="A1" s="57" t="s">
        <v>104</v>
      </c>
      <c r="B1" s="57"/>
      <c r="C1" s="57"/>
      <c r="D1" s="57"/>
      <c r="E1" s="57"/>
      <c r="F1" s="5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2" t="s">
        <v>105</v>
      </c>
      <c r="B3" s="39">
        <v>0.15</v>
      </c>
      <c r="C3" s="39">
        <v>0.2</v>
      </c>
      <c r="D3" s="39">
        <v>0.25</v>
      </c>
      <c r="E3" s="39">
        <v>0.3</v>
      </c>
      <c r="F3" s="39">
        <v>0.35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40">
        <v>150</v>
      </c>
      <c r="B4" s="38">
        <f>(Model!$B$5*(1+B$3)+Assumptions!$C$11-Assumptions!$C$10)/(Assumptions!$C$8+$A4)</f>
        <v>9.096242724333063</v>
      </c>
      <c r="C4" s="38">
        <f>(Model!$B$5*(1+C$3)+Assumptions!$C$11-Assumptions!$C$10)/(Assumptions!$C$8+$A4)</f>
        <v>9.5118011317704116</v>
      </c>
      <c r="D4" s="38">
        <f>(Model!$B$5*(1+D$3)+Assumptions!$C$11-Assumptions!$C$10)/(Assumptions!$C$8+$A4)</f>
        <v>9.9273595392077603</v>
      </c>
      <c r="E4" s="38">
        <f>(Model!$B$5*(1+E$3)+Assumptions!$C$11-Assumptions!$C$10)/(Assumptions!$C$8+$A4)</f>
        <v>10.342917946645107</v>
      </c>
      <c r="F4" s="38">
        <f>(Model!$B$5*(1+F$3)+Assumptions!$C$11-Assumptions!$C$10)/(Assumptions!$C$8+$A4)</f>
        <v>10.758476354082458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40">
        <v>250</v>
      </c>
      <c r="B5" s="38">
        <f>(Model!$B$5*(1+B$3)+Assumptions!$C$11-Assumptions!$C$10)/(Assumptions!$C$8+$A5)</f>
        <v>8.4158954749439037</v>
      </c>
      <c r="C5" s="38">
        <f>(Model!$B$5*(1+C$3)+Assumptions!$C$11-Assumptions!$C$10)/(Assumptions!$C$8+$A5)</f>
        <v>8.8003724756918462</v>
      </c>
      <c r="D5" s="38">
        <f>(Model!$B$5*(1+D$3)+Assumptions!$C$11-Assumptions!$C$10)/(Assumptions!$C$8+$A5)</f>
        <v>9.1848494764397905</v>
      </c>
      <c r="E5" s="38">
        <f>(Model!$B$5*(1+E$3)+Assumptions!$C$11-Assumptions!$C$10)/(Assumptions!$C$8+$A5)</f>
        <v>9.5693264771877331</v>
      </c>
      <c r="F5" s="38">
        <f>(Model!$B$5*(1+F$3)+Assumptions!$C$11-Assumptions!$C$10)/(Assumptions!$C$8+$A5)</f>
        <v>9.9538034779356774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40">
        <v>320</v>
      </c>
      <c r="B6" s="38">
        <f>(Model!$B$5*(1+B$3)+Assumptions!$C$11-Assumptions!$C$10)/(Assumptions!$C$8+$A6)</f>
        <v>7.9971942075337585</v>
      </c>
      <c r="C6" s="38">
        <f>(Model!$B$5*(1+C$3)+Assumptions!$C$11-Assumptions!$C$10)/(Assumptions!$C$8+$A6)</f>
        <v>8.3625429992892659</v>
      </c>
      <c r="D6" s="41">
        <f>(Model!$B$5*(1+D$3)+Assumptions!$C$11-Assumptions!$C$10)/(Assumptions!$C$8+$A6)</f>
        <v>8.727891791044776</v>
      </c>
      <c r="E6" s="38">
        <f>(Model!$B$5*(1+E$3)+Assumptions!$C$11-Assumptions!$C$10)/(Assumptions!$C$8+$A6)</f>
        <v>9.0932405828002825</v>
      </c>
      <c r="F6" s="38">
        <f>(Model!$B$5*(1+F$3)+Assumptions!$C$11-Assumptions!$C$10)/(Assumptions!$C$8+$A6)</f>
        <v>9.4585893745557925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40">
        <v>400</v>
      </c>
      <c r="B7" s="38">
        <f>(Model!$B$5*(1+B$3)+Assumptions!$C$11-Assumptions!$C$10)/(Assumptions!$C$8+$A7)</f>
        <v>7.5669483860121041</v>
      </c>
      <c r="C7" s="38">
        <f>(Model!$B$5*(1+C$3)+Assumptions!$C$11-Assumptions!$C$10)/(Assumptions!$C$8+$A7)</f>
        <v>7.9126415601882973</v>
      </c>
      <c r="D7" s="38">
        <f>(Model!$B$5*(1+D$3)+Assumptions!$C$11-Assumptions!$C$10)/(Assumptions!$C$8+$A7)</f>
        <v>8.2583347343644924</v>
      </c>
      <c r="E7" s="38">
        <f>(Model!$B$5*(1+E$3)+Assumptions!$C$11-Assumptions!$C$10)/(Assumptions!$C$8+$A7)</f>
        <v>8.6040279085406848</v>
      </c>
      <c r="F7" s="38">
        <f>(Model!$B$5*(1+F$3)+Assumptions!$C$11-Assumptions!$C$10)/(Assumptions!$C$8+$A7)</f>
        <v>8.9497210827168789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40">
        <v>550</v>
      </c>
      <c r="B8" s="38">
        <f>(Model!$B$5*(1+B$3)+Assumptions!$C$11-Assumptions!$C$10)/(Assumptions!$C$8+$A8)</f>
        <v>6.8735810934636525</v>
      </c>
      <c r="C8" s="38">
        <f>(Model!$B$5*(1+C$3)+Assumptions!$C$11-Assumptions!$C$10)/(Assumptions!$C$8+$A8)</f>
        <v>7.1875980452046413</v>
      </c>
      <c r="D8" s="38">
        <f>(Model!$B$5*(1+D$3)+Assumptions!$C$11-Assumptions!$C$10)/(Assumptions!$C$8+$A8)</f>
        <v>7.5016149969456318</v>
      </c>
      <c r="E8" s="38">
        <f>(Model!$B$5*(1+E$3)+Assumptions!$C$11-Assumptions!$C$10)/(Assumptions!$C$8+$A8)</f>
        <v>7.8156319486866206</v>
      </c>
      <c r="F8" s="38">
        <f>(Model!$B$5*(1+F$3)+Assumptions!$C$11-Assumptions!$C$10)/(Assumptions!$C$8+$A8)</f>
        <v>8.1296489004276111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</sheetData>
  <mergeCells count="1">
    <mergeCell ref="A1:F1"/>
  </mergeCells>
  <conditionalFormatting sqref="B4:F8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60"/>
  <sheetViews>
    <sheetView workbookViewId="0"/>
  </sheetViews>
  <sheetFormatPr baseColWidth="10" defaultColWidth="8.83203125" defaultRowHeight="14"/>
  <cols>
    <col min="1" max="1" width="30" customWidth="1"/>
    <col min="2" max="2" width="22" customWidth="1"/>
    <col min="3" max="3" width="70" customWidth="1"/>
    <col min="4" max="6" width="18" customWidth="1"/>
  </cols>
  <sheetData>
    <row r="1" spans="1:26" ht="34.75" customHeight="1">
      <c r="A1" s="64" t="s">
        <v>106</v>
      </c>
      <c r="B1" s="64"/>
      <c r="C1" s="64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5"/>
      <c r="B2" s="5"/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6" t="s">
        <v>107</v>
      </c>
      <c r="B3" s="6" t="s">
        <v>41</v>
      </c>
      <c r="C3" s="6" t="s">
        <v>108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8">
      <c r="A4" s="5" t="s">
        <v>109</v>
      </c>
      <c r="B4" s="5" t="s">
        <v>45</v>
      </c>
      <c r="C4" s="19" t="s">
        <v>110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5" t="s">
        <v>111</v>
      </c>
      <c r="B5" s="5" t="s">
        <v>51</v>
      </c>
      <c r="C5" s="19" t="s">
        <v>112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5" t="s">
        <v>113</v>
      </c>
      <c r="B6" s="5" t="s">
        <v>114</v>
      </c>
      <c r="C6" s="19" t="s">
        <v>115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5" t="s">
        <v>116</v>
      </c>
      <c r="B7" s="5" t="s">
        <v>51</v>
      </c>
      <c r="C7" s="19" t="s">
        <v>117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5" t="s">
        <v>118</v>
      </c>
      <c r="B8" s="5" t="s">
        <v>45</v>
      </c>
      <c r="C8" s="19" t="s">
        <v>119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5" t="s">
        <v>120</v>
      </c>
      <c r="B9" s="5" t="s">
        <v>121</v>
      </c>
      <c r="C9" s="19" t="s">
        <v>122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5" t="s">
        <v>123</v>
      </c>
      <c r="B10" s="5" t="s">
        <v>59</v>
      </c>
      <c r="C10" s="19" t="s">
        <v>124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6">
      <c r="A11" s="42" t="s">
        <v>125</v>
      </c>
      <c r="B11" s="42" t="s">
        <v>121</v>
      </c>
      <c r="C11" s="19" t="s">
        <v>126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42" t="s">
        <v>127</v>
      </c>
      <c r="B12" s="42" t="s">
        <v>128</v>
      </c>
      <c r="C12" s="42" t="s">
        <v>129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60"/>
  <sheetViews>
    <sheetView workbookViewId="0"/>
  </sheetViews>
  <sheetFormatPr baseColWidth="10" defaultColWidth="8.83203125" defaultRowHeight="14"/>
  <cols>
    <col min="1" max="1" width="32" customWidth="1"/>
    <col min="2" max="4" width="16" customWidth="1"/>
    <col min="5" max="5" width="12" customWidth="1"/>
    <col min="6" max="6" width="38" customWidth="1"/>
  </cols>
  <sheetData>
    <row r="1" spans="1:26" ht="34.75" customHeight="1">
      <c r="A1" s="57" t="s">
        <v>130</v>
      </c>
      <c r="B1" s="57"/>
      <c r="C1" s="57"/>
      <c r="D1" s="57"/>
      <c r="E1" s="57"/>
      <c r="F1" s="5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2" t="s">
        <v>22</v>
      </c>
      <c r="B3" s="12" t="s">
        <v>131</v>
      </c>
      <c r="C3" s="12" t="s">
        <v>132</v>
      </c>
      <c r="D3" s="12" t="s">
        <v>133</v>
      </c>
      <c r="E3" s="12" t="s">
        <v>39</v>
      </c>
      <c r="F3" s="12" t="s">
        <v>134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9" t="s">
        <v>56</v>
      </c>
      <c r="B4" s="36">
        <v>0.15</v>
      </c>
      <c r="C4" s="36">
        <v>0.25</v>
      </c>
      <c r="D4" s="36">
        <v>0.35</v>
      </c>
      <c r="E4" s="1" t="s">
        <v>57</v>
      </c>
      <c r="F4" s="18" t="s">
        <v>59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9" t="s">
        <v>65</v>
      </c>
      <c r="B5" s="21">
        <v>150</v>
      </c>
      <c r="C5" s="21">
        <v>250</v>
      </c>
      <c r="D5" s="21">
        <v>400</v>
      </c>
      <c r="E5" s="1" t="s">
        <v>30</v>
      </c>
      <c r="F5" s="18" t="s">
        <v>59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9" t="s">
        <v>66</v>
      </c>
      <c r="B6" s="21">
        <v>100</v>
      </c>
      <c r="C6" s="21">
        <v>200</v>
      </c>
      <c r="D6" s="21">
        <v>350</v>
      </c>
      <c r="E6" s="1" t="s">
        <v>30</v>
      </c>
      <c r="F6" s="18" t="s">
        <v>59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9" t="s">
        <v>135</v>
      </c>
      <c r="B7" s="36">
        <v>0.35</v>
      </c>
      <c r="C7" s="36">
        <v>0.35</v>
      </c>
      <c r="D7" s="36">
        <v>0.35</v>
      </c>
      <c r="E7" s="1" t="s">
        <v>57</v>
      </c>
      <c r="F7" s="18" t="s">
        <v>59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9" t="s">
        <v>89</v>
      </c>
      <c r="B8" s="37">
        <f>B5+(B6*B7)</f>
        <v>185</v>
      </c>
      <c r="C8" s="37">
        <f>C5+(C6*C7)</f>
        <v>320</v>
      </c>
      <c r="D8" s="37">
        <f>D5+(D6*D7)</f>
        <v>522.5</v>
      </c>
      <c r="E8" s="1" t="s">
        <v>30</v>
      </c>
      <c r="F8" s="18" t="s">
        <v>136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9" t="s">
        <v>75</v>
      </c>
      <c r="B9" s="37">
        <f>Model!$B$5*(1+B4)</f>
        <v>11823.052249999999</v>
      </c>
      <c r="C9" s="37">
        <f>Model!$B$5*(1+C4)</f>
        <v>12851.143749999999</v>
      </c>
      <c r="D9" s="37">
        <f>Model!$B$5*(1+D4)</f>
        <v>13879.23525</v>
      </c>
      <c r="E9" s="1" t="s">
        <v>30</v>
      </c>
      <c r="F9" s="18" t="s">
        <v>137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9" t="s">
        <v>138</v>
      </c>
      <c r="B10" s="37">
        <f>B9+Assumptions!$C$11-Assumptions!$C$10</f>
        <v>11252.052249999999</v>
      </c>
      <c r="C10" s="37">
        <f>C9+Assumptions!$C$11-Assumptions!$C$10</f>
        <v>12280.143749999999</v>
      </c>
      <c r="D10" s="37">
        <f>D9+Assumptions!$C$11-Assumptions!$C$10</f>
        <v>13308.23525</v>
      </c>
      <c r="E10" s="1" t="s">
        <v>30</v>
      </c>
      <c r="F10" s="18" t="s">
        <v>139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9" t="s">
        <v>140</v>
      </c>
      <c r="B11" s="38">
        <f>B10/Assumptions!$C$8</f>
        <v>10.351474011039558</v>
      </c>
      <c r="C11" s="38">
        <f>C10/Assumptions!$C$8</f>
        <v>11.297280358785647</v>
      </c>
      <c r="D11" s="38">
        <f>D10/Assumptions!$C$8</f>
        <v>12.243086706531738</v>
      </c>
      <c r="E11" s="1" t="s">
        <v>80</v>
      </c>
      <c r="F11" s="18" t="s">
        <v>141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9" t="s">
        <v>103</v>
      </c>
      <c r="B12" s="38">
        <f>B10/(Assumptions!$C$8+B8)</f>
        <v>8.8459530267295587</v>
      </c>
      <c r="C12" s="38">
        <f>C10/(Assumptions!$C$8+C8)</f>
        <v>8.727891791044776</v>
      </c>
      <c r="D12" s="38">
        <f>D10/(Assumptions!$C$8+D8)</f>
        <v>8.2685525007766394</v>
      </c>
      <c r="E12" s="1" t="s">
        <v>80</v>
      </c>
      <c r="F12" s="18" t="s">
        <v>142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Assumptions</vt:lpstr>
      <vt:lpstr>Model</vt:lpstr>
      <vt:lpstr>Sensitivity</vt:lpstr>
      <vt:lpstr>Sources</vt:lpstr>
      <vt:lpstr>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Kwabena Adu Darko-Asare</cp:lastModifiedBy>
  <dcterms:created xsi:type="dcterms:W3CDTF">2026-09-24T01:36:43Z</dcterms:created>
  <dcterms:modified xsi:type="dcterms:W3CDTF">2026-09-24T01:36:43Z</dcterms:modified>
</cp:coreProperties>
</file>